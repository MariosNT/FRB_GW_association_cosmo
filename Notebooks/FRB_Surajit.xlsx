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Research\FRB\cosmology\FRB_GW_association_cosmo\Notebooks\"/>
    </mc:Choice>
  </mc:AlternateContent>
  <xr:revisionPtr revIDLastSave="0" documentId="13_ncr:1_{6EA96D15-A005-4B39-8F93-8BB249741B50}" xr6:coauthVersionLast="47" xr6:coauthVersionMax="47" xr10:uidLastSave="{00000000-0000-0000-0000-000000000000}"/>
  <bookViews>
    <workbookView xWindow="-110" yWindow="-110" windowWidth="25820" windowHeight="13900" xr2:uid="{5C9607F5-72C0-4E57-83BF-8A0CBC4332AB}"/>
  </bookViews>
  <sheets>
    <sheet name="FRB_Surajit" sheetId="1" r:id="rId1"/>
  </sheets>
  <calcPr calcId="191029"/>
</workbook>
</file>

<file path=xl/calcChain.xml><?xml version="1.0" encoding="utf-8"?>
<calcChain xmlns="http://schemas.openxmlformats.org/spreadsheetml/2006/main">
  <c r="F41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2" i="1"/>
</calcChain>
</file>

<file path=xl/sharedStrings.xml><?xml version="1.0" encoding="utf-8"?>
<sst xmlns="http://schemas.openxmlformats.org/spreadsheetml/2006/main" count="71" uniqueCount="71">
  <si>
    <t>FRB</t>
  </si>
  <si>
    <t>DM_obs (pc cm^-3)</t>
  </si>
  <si>
    <t>E_DM_obs</t>
  </si>
  <si>
    <t>DM_MW (pc cm^-3)</t>
  </si>
  <si>
    <t>z</t>
  </si>
  <si>
    <t>FRB 20121102A</t>
  </si>
  <si>
    <t>FRB 20171020A</t>
  </si>
  <si>
    <t>FRB 20180301A</t>
  </si>
  <si>
    <t>FRB 20180916B</t>
  </si>
  <si>
    <t>FRB 20180924B</t>
  </si>
  <si>
    <t>FRB 20181112A</t>
  </si>
  <si>
    <t>FRB 20181220A</t>
  </si>
  <si>
    <t>FRB 20181223C</t>
  </si>
  <si>
    <t>FRB 20190102C</t>
  </si>
  <si>
    <t>FRB 20190110C</t>
  </si>
  <si>
    <t>FRB 20190303A</t>
  </si>
  <si>
    <t>FRB 20190418A</t>
  </si>
  <si>
    <t>FRB 20190425A</t>
  </si>
  <si>
    <t>FRB 20190520B</t>
  </si>
  <si>
    <t>FRB 20190523A</t>
  </si>
  <si>
    <t>FRB 20190608B</t>
  </si>
  <si>
    <t>FRB 20190611B</t>
  </si>
  <si>
    <t>FRB 20190614D</t>
  </si>
  <si>
    <t>FRB 20190711A</t>
  </si>
  <si>
    <t>FRB 20190714A</t>
  </si>
  <si>
    <t>FRB 20191001A</t>
  </si>
  <si>
    <t>FRB 20191106C</t>
  </si>
  <si>
    <t>FRB 20191228A</t>
  </si>
  <si>
    <t>FRB 20200223B</t>
  </si>
  <si>
    <t>FRB 20200430A</t>
  </si>
  <si>
    <t>FRB 20200906A</t>
  </si>
  <si>
    <t>FRB 20201123A</t>
  </si>
  <si>
    <t>FRB 20201124A</t>
  </si>
  <si>
    <t>FRB 20210320C</t>
  </si>
  <si>
    <t>FRB 20210405I</t>
  </si>
  <si>
    <t>FRB 20210410D</t>
  </si>
  <si>
    <t>FRB 20210603A</t>
  </si>
  <si>
    <t>FRB 20210807D</t>
  </si>
  <si>
    <t>FRB 20211127I</t>
  </si>
  <si>
    <t>FRB 20211203C</t>
  </si>
  <si>
    <t>FRB 20211212A</t>
  </si>
  <si>
    <t>FRB 20220105A</t>
  </si>
  <si>
    <t>FRB 20220207C</t>
  </si>
  <si>
    <t>FRB 20220310F</t>
  </si>
  <si>
    <t>FRB 20220319D</t>
  </si>
  <si>
    <t>FRB 20220418A</t>
  </si>
  <si>
    <t>FRB 20220501C</t>
  </si>
  <si>
    <t>FRB 20220506D</t>
  </si>
  <si>
    <t>FRB 20220509G</t>
  </si>
  <si>
    <t>FRB 20220610A</t>
  </si>
  <si>
    <t>FRB 20220725A</t>
  </si>
  <si>
    <t>FRB 20220825A</t>
  </si>
  <si>
    <t>FRB 20220912A</t>
  </si>
  <si>
    <t>FRB 20220914A</t>
  </si>
  <si>
    <t>FRB 20220918A</t>
  </si>
  <si>
    <t>FRB 20220920A</t>
  </si>
  <si>
    <t>FRB 20221012A</t>
  </si>
  <si>
    <t>FRB 20221106A</t>
  </si>
  <si>
    <t>FRB 20230526A</t>
  </si>
  <si>
    <t>FRB 20230708A</t>
  </si>
  <si>
    <t>FRB 20230718A</t>
  </si>
  <si>
    <t>FRB 20230902A</t>
  </si>
  <si>
    <t>FRB 20231226A</t>
  </si>
  <si>
    <t>FRB 20240114A</t>
  </si>
  <si>
    <t>FRB 20240201A</t>
  </si>
  <si>
    <t>FRB 20240210A</t>
  </si>
  <si>
    <t>FRB 20240310A</t>
  </si>
  <si>
    <t>DM_ext</t>
    <phoneticPr fontId="18" type="noConversion"/>
  </si>
  <si>
    <t>Kiritti_DM_ext</t>
    <phoneticPr fontId="18" type="noConversion"/>
  </si>
  <si>
    <t>FRB 20220307B</t>
    <phoneticPr fontId="18" type="noConversion"/>
  </si>
  <si>
    <t>FRB 20210117A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</si>
</sst>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Alignment="1"/>
    <xf numFmtId="0" fontId="19" fillId="0" borderId="0" xfId="0" applyFont="1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6722-8B48-4B34-B58C-77350BB8C300}">
  <dimension ref="A1:G65"/>
  <sheetViews>
    <sheetView tabSelected="1" topLeftCell="A34" zoomScale="154" zoomScaleNormal="130" workbookViewId="0">
      <selection activeCell="G44" sqref="G44"/>
    </sheetView>
  </sheetViews>
  <sheetFormatPr defaultRowHeight="14" x14ac:dyDescent="0.3"/>
  <cols>
    <col min="1" max="1" width="19.58203125" customWidth="1"/>
    <col min="2" max="2" width="8.1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67</v>
      </c>
      <c r="G1" t="s">
        <v>68</v>
      </c>
    </row>
    <row r="2" spans="1:7" x14ac:dyDescent="0.3">
      <c r="A2" t="s">
        <v>5</v>
      </c>
      <c r="B2">
        <v>557</v>
      </c>
      <c r="C2">
        <v>2</v>
      </c>
      <c r="D2">
        <v>188</v>
      </c>
      <c r="E2">
        <v>0.19273000000000001</v>
      </c>
      <c r="F2">
        <f>B2-D2</f>
        <v>369</v>
      </c>
    </row>
    <row r="3" spans="1:7" x14ac:dyDescent="0.3">
      <c r="A3" t="s">
        <v>6</v>
      </c>
      <c r="B3">
        <v>114.1</v>
      </c>
      <c r="C3">
        <v>0.2</v>
      </c>
      <c r="D3">
        <v>38</v>
      </c>
      <c r="E3">
        <v>8.6E-3</v>
      </c>
      <c r="F3">
        <f t="shared" ref="F3:F65" si="0">B3-D3</f>
        <v>76.099999999999994</v>
      </c>
    </row>
    <row r="4" spans="1:7" x14ac:dyDescent="0.3">
      <c r="A4" t="s">
        <v>7</v>
      </c>
      <c r="B4">
        <v>522</v>
      </c>
      <c r="C4">
        <v>0.2</v>
      </c>
      <c r="D4">
        <v>152</v>
      </c>
      <c r="E4">
        <v>0.33040000000000003</v>
      </c>
      <c r="F4">
        <f t="shared" si="0"/>
        <v>370</v>
      </c>
    </row>
    <row r="5" spans="1:7" x14ac:dyDescent="0.3">
      <c r="A5" t="s">
        <v>8</v>
      </c>
      <c r="B5">
        <v>349.3</v>
      </c>
      <c r="C5">
        <v>0.2</v>
      </c>
      <c r="D5">
        <v>200</v>
      </c>
      <c r="E5">
        <v>3.3700000000000001E-2</v>
      </c>
      <c r="F5">
        <f t="shared" si="0"/>
        <v>149.30000000000001</v>
      </c>
    </row>
    <row r="6" spans="1:7" x14ac:dyDescent="0.3">
      <c r="A6" t="s">
        <v>9</v>
      </c>
      <c r="B6">
        <v>361.42</v>
      </c>
      <c r="C6">
        <v>0.06</v>
      </c>
      <c r="D6">
        <v>40.5</v>
      </c>
      <c r="E6">
        <v>0.32140000000000002</v>
      </c>
      <c r="F6">
        <f t="shared" si="0"/>
        <v>320.92</v>
      </c>
    </row>
    <row r="7" spans="1:7" x14ac:dyDescent="0.3">
      <c r="A7" t="s">
        <v>10</v>
      </c>
      <c r="B7">
        <v>589.27</v>
      </c>
      <c r="C7">
        <v>0.03</v>
      </c>
      <c r="D7">
        <v>102</v>
      </c>
      <c r="E7">
        <v>0.47549999999999998</v>
      </c>
      <c r="F7">
        <f t="shared" si="0"/>
        <v>487.27</v>
      </c>
    </row>
    <row r="8" spans="1:7" x14ac:dyDescent="0.3">
      <c r="A8" t="s">
        <v>11</v>
      </c>
      <c r="B8">
        <v>209.4</v>
      </c>
      <c r="C8">
        <v>0.1</v>
      </c>
      <c r="D8">
        <v>126</v>
      </c>
      <c r="E8">
        <v>2.7459999999999998E-2</v>
      </c>
      <c r="F8">
        <f t="shared" si="0"/>
        <v>83.4</v>
      </c>
    </row>
    <row r="9" spans="1:7" x14ac:dyDescent="0.3">
      <c r="A9" t="s">
        <v>12</v>
      </c>
      <c r="B9">
        <v>112.5</v>
      </c>
      <c r="C9">
        <v>0.1</v>
      </c>
      <c r="D9">
        <v>20</v>
      </c>
      <c r="E9">
        <v>3.024E-2</v>
      </c>
      <c r="F9">
        <f t="shared" si="0"/>
        <v>92.5</v>
      </c>
    </row>
    <row r="10" spans="1:7" x14ac:dyDescent="0.3">
      <c r="A10" t="s">
        <v>13</v>
      </c>
      <c r="B10">
        <v>363.6</v>
      </c>
      <c r="C10">
        <v>0.3</v>
      </c>
      <c r="D10">
        <v>57.3</v>
      </c>
      <c r="E10">
        <v>0.29099999999999998</v>
      </c>
      <c r="F10">
        <f t="shared" si="0"/>
        <v>306.3</v>
      </c>
    </row>
    <row r="11" spans="1:7" x14ac:dyDescent="0.3">
      <c r="A11" t="s">
        <v>14</v>
      </c>
      <c r="B11">
        <v>221.6</v>
      </c>
      <c r="C11">
        <v>1.6</v>
      </c>
      <c r="D11">
        <v>37.1</v>
      </c>
      <c r="E11">
        <v>0.12243999999999999</v>
      </c>
      <c r="F11">
        <f t="shared" si="0"/>
        <v>184.5</v>
      </c>
    </row>
    <row r="12" spans="1:7" x14ac:dyDescent="0.3">
      <c r="A12" t="s">
        <v>15</v>
      </c>
      <c r="B12">
        <v>222.4</v>
      </c>
      <c r="C12">
        <v>0.7</v>
      </c>
      <c r="D12">
        <v>29</v>
      </c>
      <c r="E12">
        <v>6.4000000000000001E-2</v>
      </c>
      <c r="F12">
        <f t="shared" si="0"/>
        <v>193.4</v>
      </c>
    </row>
    <row r="13" spans="1:7" x14ac:dyDescent="0.3">
      <c r="A13" t="s">
        <v>16</v>
      </c>
      <c r="B13">
        <v>184.5</v>
      </c>
      <c r="C13">
        <v>0.1</v>
      </c>
      <c r="D13">
        <v>71</v>
      </c>
      <c r="E13">
        <v>7.1319999999999995E-2</v>
      </c>
      <c r="F13">
        <f t="shared" si="0"/>
        <v>113.5</v>
      </c>
    </row>
    <row r="14" spans="1:7" x14ac:dyDescent="0.3">
      <c r="A14" t="s">
        <v>17</v>
      </c>
      <c r="B14">
        <v>128.19999999999999</v>
      </c>
      <c r="C14">
        <v>0.1</v>
      </c>
      <c r="D14">
        <v>49</v>
      </c>
      <c r="E14">
        <v>3.1220000000000001E-2</v>
      </c>
      <c r="F14">
        <f t="shared" si="0"/>
        <v>79.199999999999989</v>
      </c>
    </row>
    <row r="15" spans="1:7" x14ac:dyDescent="0.3">
      <c r="A15" t="s">
        <v>18</v>
      </c>
      <c r="B15">
        <v>1204.7</v>
      </c>
      <c r="C15">
        <v>10</v>
      </c>
      <c r="D15">
        <v>113</v>
      </c>
      <c r="E15">
        <v>0.24099999999999999</v>
      </c>
      <c r="F15">
        <f t="shared" si="0"/>
        <v>1091.7</v>
      </c>
    </row>
    <row r="16" spans="1:7" x14ac:dyDescent="0.3">
      <c r="A16" t="s">
        <v>19</v>
      </c>
      <c r="B16">
        <v>760.8</v>
      </c>
      <c r="C16">
        <v>0.6</v>
      </c>
      <c r="D16">
        <v>37</v>
      </c>
      <c r="E16">
        <v>0.66</v>
      </c>
      <c r="F16">
        <f t="shared" si="0"/>
        <v>723.8</v>
      </c>
    </row>
    <row r="17" spans="1:6" x14ac:dyDescent="0.3">
      <c r="A17" t="s">
        <v>20</v>
      </c>
      <c r="B17">
        <v>338.7</v>
      </c>
      <c r="C17">
        <v>0.5</v>
      </c>
      <c r="D17">
        <v>37.200000000000003</v>
      </c>
      <c r="E17">
        <v>0.1178</v>
      </c>
      <c r="F17">
        <f t="shared" si="0"/>
        <v>301.5</v>
      </c>
    </row>
    <row r="18" spans="1:6" x14ac:dyDescent="0.3">
      <c r="A18" t="s">
        <v>21</v>
      </c>
      <c r="B18">
        <v>321.39999999999998</v>
      </c>
      <c r="C18">
        <v>0.2</v>
      </c>
      <c r="D18">
        <v>57.83</v>
      </c>
      <c r="E18">
        <v>0.37780000000000002</v>
      </c>
      <c r="F18">
        <f t="shared" si="0"/>
        <v>263.57</v>
      </c>
    </row>
    <row r="19" spans="1:6" x14ac:dyDescent="0.3">
      <c r="A19" t="s">
        <v>22</v>
      </c>
      <c r="B19">
        <v>959.2</v>
      </c>
      <c r="C19">
        <v>5</v>
      </c>
      <c r="D19">
        <v>83.5</v>
      </c>
      <c r="E19">
        <v>0.6</v>
      </c>
      <c r="F19">
        <f t="shared" si="0"/>
        <v>875.7</v>
      </c>
    </row>
    <row r="20" spans="1:6" x14ac:dyDescent="0.3">
      <c r="A20" t="s">
        <v>23</v>
      </c>
      <c r="B20">
        <v>593.1</v>
      </c>
      <c r="C20">
        <v>0.4</v>
      </c>
      <c r="D20">
        <v>56.4</v>
      </c>
      <c r="E20">
        <v>0.52200000000000002</v>
      </c>
      <c r="F20">
        <f t="shared" si="0"/>
        <v>536.70000000000005</v>
      </c>
    </row>
    <row r="21" spans="1:6" x14ac:dyDescent="0.3">
      <c r="A21" t="s">
        <v>24</v>
      </c>
      <c r="B21">
        <v>504</v>
      </c>
      <c r="C21">
        <v>2</v>
      </c>
      <c r="D21">
        <v>39</v>
      </c>
      <c r="E21">
        <v>0.23649999999999999</v>
      </c>
      <c r="F21">
        <f t="shared" si="0"/>
        <v>465</v>
      </c>
    </row>
    <row r="22" spans="1:6" x14ac:dyDescent="0.3">
      <c r="A22" t="s">
        <v>25</v>
      </c>
      <c r="B22">
        <v>506.92</v>
      </c>
      <c r="C22">
        <v>0.04</v>
      </c>
      <c r="D22">
        <v>44.7</v>
      </c>
      <c r="E22">
        <v>0.23400000000000001</v>
      </c>
      <c r="F22">
        <f t="shared" si="0"/>
        <v>462.22</v>
      </c>
    </row>
    <row r="23" spans="1:6" x14ac:dyDescent="0.3">
      <c r="A23" t="s">
        <v>26</v>
      </c>
      <c r="B23">
        <v>332.2</v>
      </c>
      <c r="C23">
        <v>0.7</v>
      </c>
      <c r="D23">
        <v>25</v>
      </c>
      <c r="E23">
        <v>0.10775</v>
      </c>
      <c r="F23">
        <f t="shared" si="0"/>
        <v>307.2</v>
      </c>
    </row>
    <row r="24" spans="1:6" x14ac:dyDescent="0.3">
      <c r="A24" t="s">
        <v>27</v>
      </c>
      <c r="B24">
        <v>297.5</v>
      </c>
      <c r="C24">
        <v>0.05</v>
      </c>
      <c r="D24">
        <v>33</v>
      </c>
      <c r="E24">
        <v>0.2432</v>
      </c>
      <c r="F24">
        <f t="shared" si="0"/>
        <v>264.5</v>
      </c>
    </row>
    <row r="25" spans="1:6" x14ac:dyDescent="0.3">
      <c r="A25" t="s">
        <v>28</v>
      </c>
      <c r="B25">
        <v>201.8</v>
      </c>
      <c r="C25">
        <v>0.4</v>
      </c>
      <c r="D25">
        <v>45.6</v>
      </c>
      <c r="E25">
        <v>6.0199999999999997E-2</v>
      </c>
      <c r="F25">
        <f t="shared" si="0"/>
        <v>156.20000000000002</v>
      </c>
    </row>
    <row r="26" spans="1:6" x14ac:dyDescent="0.3">
      <c r="A26" t="s">
        <v>29</v>
      </c>
      <c r="B26">
        <v>380.1</v>
      </c>
      <c r="C26">
        <v>0.4</v>
      </c>
      <c r="D26">
        <v>27</v>
      </c>
      <c r="E26">
        <v>0.16</v>
      </c>
      <c r="F26">
        <f t="shared" si="0"/>
        <v>353.1</v>
      </c>
    </row>
    <row r="27" spans="1:6" x14ac:dyDescent="0.3">
      <c r="A27" t="s">
        <v>30</v>
      </c>
      <c r="B27">
        <v>577.79999999999995</v>
      </c>
      <c r="C27">
        <v>0.02</v>
      </c>
      <c r="D27">
        <v>36</v>
      </c>
      <c r="E27">
        <v>0.36880000000000002</v>
      </c>
      <c r="F27">
        <f t="shared" si="0"/>
        <v>541.79999999999995</v>
      </c>
    </row>
    <row r="28" spans="1:6" x14ac:dyDescent="0.3">
      <c r="A28" t="s">
        <v>31</v>
      </c>
      <c r="B28">
        <v>433.55</v>
      </c>
      <c r="C28">
        <v>0.36</v>
      </c>
      <c r="D28">
        <v>251.93</v>
      </c>
      <c r="E28">
        <v>0.05</v>
      </c>
      <c r="F28">
        <f t="shared" si="0"/>
        <v>181.62</v>
      </c>
    </row>
    <row r="29" spans="1:6" x14ac:dyDescent="0.3">
      <c r="A29" t="s">
        <v>32</v>
      </c>
      <c r="B29">
        <v>413.52</v>
      </c>
      <c r="C29">
        <v>0.05</v>
      </c>
      <c r="D29">
        <v>123.2</v>
      </c>
      <c r="E29">
        <v>9.8000000000000004E-2</v>
      </c>
      <c r="F29">
        <f t="shared" si="0"/>
        <v>290.32</v>
      </c>
    </row>
    <row r="30" spans="1:6" x14ac:dyDescent="0.3">
      <c r="A30" t="s">
        <v>70</v>
      </c>
      <c r="B30">
        <v>730</v>
      </c>
      <c r="C30">
        <v>1.1000000000000001</v>
      </c>
      <c r="D30">
        <v>34.4</v>
      </c>
      <c r="E30">
        <v>0.2145</v>
      </c>
      <c r="F30">
        <f t="shared" si="0"/>
        <v>695.6</v>
      </c>
    </row>
    <row r="31" spans="1:6" x14ac:dyDescent="0.3">
      <c r="A31" t="s">
        <v>33</v>
      </c>
      <c r="B31">
        <v>384.8</v>
      </c>
      <c r="C31">
        <v>0.3</v>
      </c>
      <c r="D31">
        <v>42</v>
      </c>
      <c r="E31">
        <v>0.2797</v>
      </c>
      <c r="F31">
        <f t="shared" si="0"/>
        <v>342.8</v>
      </c>
    </row>
    <row r="32" spans="1:6" x14ac:dyDescent="0.3">
      <c r="A32" t="s">
        <v>34</v>
      </c>
      <c r="B32">
        <v>565.16999999999996</v>
      </c>
      <c r="C32">
        <v>0.49</v>
      </c>
      <c r="D32">
        <v>516.1</v>
      </c>
      <c r="E32">
        <v>6.6000000000000003E-2</v>
      </c>
      <c r="F32">
        <f t="shared" si="0"/>
        <v>49.069999999999936</v>
      </c>
    </row>
    <row r="33" spans="1:7" x14ac:dyDescent="0.3">
      <c r="A33" t="s">
        <v>35</v>
      </c>
      <c r="B33">
        <v>578.78</v>
      </c>
      <c r="C33">
        <v>2</v>
      </c>
      <c r="D33">
        <v>56.2</v>
      </c>
      <c r="E33">
        <v>0.14149999999999999</v>
      </c>
      <c r="F33">
        <f t="shared" si="0"/>
        <v>522.57999999999993</v>
      </c>
    </row>
    <row r="34" spans="1:7" x14ac:dyDescent="0.3">
      <c r="A34" t="s">
        <v>36</v>
      </c>
      <c r="B34">
        <v>500.14699999999999</v>
      </c>
      <c r="C34">
        <v>4.0000000000000001E-3</v>
      </c>
      <c r="D34">
        <v>40</v>
      </c>
      <c r="E34">
        <v>0.17699999999999999</v>
      </c>
      <c r="F34">
        <f t="shared" si="0"/>
        <v>460.14699999999999</v>
      </c>
    </row>
    <row r="35" spans="1:7" x14ac:dyDescent="0.3">
      <c r="A35" t="s">
        <v>37</v>
      </c>
      <c r="B35">
        <v>251.9</v>
      </c>
      <c r="C35">
        <v>0.2</v>
      </c>
      <c r="D35">
        <v>121.2</v>
      </c>
      <c r="E35">
        <v>0.12927</v>
      </c>
      <c r="F35">
        <f t="shared" si="0"/>
        <v>130.69999999999999</v>
      </c>
    </row>
    <row r="36" spans="1:7" x14ac:dyDescent="0.3">
      <c r="A36" t="s">
        <v>38</v>
      </c>
      <c r="B36">
        <v>234.83</v>
      </c>
      <c r="C36">
        <v>0.08</v>
      </c>
      <c r="D36">
        <v>42.5</v>
      </c>
      <c r="E36">
        <v>4.6899999999999997E-2</v>
      </c>
      <c r="F36">
        <f t="shared" si="0"/>
        <v>192.33</v>
      </c>
    </row>
    <row r="37" spans="1:7" x14ac:dyDescent="0.3">
      <c r="A37" t="s">
        <v>39</v>
      </c>
      <c r="B37">
        <v>636.20000000000005</v>
      </c>
      <c r="C37">
        <v>0.4</v>
      </c>
      <c r="D37">
        <v>63</v>
      </c>
      <c r="E37">
        <v>0.34370000000000001</v>
      </c>
      <c r="F37">
        <f t="shared" si="0"/>
        <v>573.20000000000005</v>
      </c>
    </row>
    <row r="38" spans="1:7" x14ac:dyDescent="0.3">
      <c r="A38" t="s">
        <v>40</v>
      </c>
      <c r="B38">
        <v>206</v>
      </c>
      <c r="C38">
        <v>5</v>
      </c>
      <c r="D38">
        <v>27.1</v>
      </c>
      <c r="E38">
        <v>7.1499999999999994E-2</v>
      </c>
      <c r="F38">
        <f t="shared" si="0"/>
        <v>178.9</v>
      </c>
    </row>
    <row r="39" spans="1:7" x14ac:dyDescent="0.3">
      <c r="A39" t="s">
        <v>41</v>
      </c>
      <c r="B39">
        <v>583</v>
      </c>
      <c r="C39">
        <v>2</v>
      </c>
      <c r="D39">
        <v>22</v>
      </c>
      <c r="E39">
        <v>0.27850000000000003</v>
      </c>
      <c r="F39">
        <f t="shared" si="0"/>
        <v>561</v>
      </c>
    </row>
    <row r="40" spans="1:7" x14ac:dyDescent="0.3">
      <c r="A40" s="1" t="s">
        <v>42</v>
      </c>
      <c r="B40">
        <v>262.38</v>
      </c>
      <c r="C40">
        <v>0.01</v>
      </c>
      <c r="D40">
        <v>79.3</v>
      </c>
      <c r="E40">
        <v>4.3040000000000002E-2</v>
      </c>
      <c r="F40">
        <f t="shared" si="0"/>
        <v>183.07999999999998</v>
      </c>
      <c r="G40" s="3">
        <v>182.98</v>
      </c>
    </row>
    <row r="41" spans="1:7" x14ac:dyDescent="0.3">
      <c r="A41" t="s">
        <v>69</v>
      </c>
      <c r="B41">
        <v>499.27</v>
      </c>
      <c r="C41">
        <v>0.06</v>
      </c>
      <c r="D41">
        <v>135.69999999999999</v>
      </c>
      <c r="E41">
        <v>0.24812300000000001</v>
      </c>
      <c r="F41">
        <f t="shared" si="0"/>
        <v>363.57</v>
      </c>
      <c r="G41" s="2"/>
    </row>
    <row r="42" spans="1:7" x14ac:dyDescent="0.3">
      <c r="A42" s="1" t="s">
        <v>43</v>
      </c>
      <c r="B42">
        <v>462.24</v>
      </c>
      <c r="C42">
        <v>5.0000000000000001E-3</v>
      </c>
      <c r="D42">
        <v>45.4</v>
      </c>
      <c r="E42">
        <v>0.47795799999999999</v>
      </c>
      <c r="F42">
        <f t="shared" si="0"/>
        <v>416.84000000000003</v>
      </c>
      <c r="G42" s="3">
        <v>416.71</v>
      </c>
    </row>
    <row r="43" spans="1:7" x14ac:dyDescent="0.3">
      <c r="A43" s="1" t="s">
        <v>44</v>
      </c>
      <c r="B43">
        <v>110.95</v>
      </c>
      <c r="C43">
        <v>0.02</v>
      </c>
      <c r="D43">
        <v>65.25</v>
      </c>
      <c r="E43">
        <v>1.0999999999999999E-2</v>
      </c>
      <c r="F43">
        <f t="shared" si="0"/>
        <v>45.7</v>
      </c>
      <c r="G43" s="3">
        <v>-22.31</v>
      </c>
    </row>
    <row r="44" spans="1:7" x14ac:dyDescent="0.3">
      <c r="A44" s="1" t="s">
        <v>45</v>
      </c>
      <c r="B44">
        <v>623.25</v>
      </c>
      <c r="C44">
        <v>0.01</v>
      </c>
      <c r="D44">
        <v>37.6</v>
      </c>
      <c r="E44">
        <v>0.622</v>
      </c>
      <c r="F44">
        <f t="shared" si="0"/>
        <v>585.65</v>
      </c>
      <c r="G44" s="3">
        <v>585.84</v>
      </c>
    </row>
    <row r="45" spans="1:7" x14ac:dyDescent="0.3">
      <c r="A45" t="s">
        <v>46</v>
      </c>
      <c r="B45">
        <v>449.5</v>
      </c>
      <c r="C45">
        <v>0.2</v>
      </c>
      <c r="D45">
        <v>31</v>
      </c>
      <c r="E45">
        <v>0.38100000000000001</v>
      </c>
      <c r="F45">
        <f t="shared" si="0"/>
        <v>418.5</v>
      </c>
    </row>
    <row r="46" spans="1:7" x14ac:dyDescent="0.3">
      <c r="A46" s="1" t="s">
        <v>47</v>
      </c>
      <c r="B46">
        <v>396.97</v>
      </c>
      <c r="C46">
        <v>0.02</v>
      </c>
      <c r="D46">
        <v>89.1</v>
      </c>
      <c r="E46">
        <v>0.30038999999999999</v>
      </c>
      <c r="F46">
        <f t="shared" si="0"/>
        <v>307.87</v>
      </c>
      <c r="G46" s="3">
        <v>307.81</v>
      </c>
    </row>
    <row r="47" spans="1:7" x14ac:dyDescent="0.3">
      <c r="A47" s="1" t="s">
        <v>48</v>
      </c>
      <c r="B47">
        <v>269.52999999999997</v>
      </c>
      <c r="C47">
        <v>0.02</v>
      </c>
      <c r="D47">
        <v>55.2</v>
      </c>
      <c r="E47">
        <v>8.9399999999999993E-2</v>
      </c>
      <c r="F47">
        <f t="shared" si="0"/>
        <v>214.32999999999998</v>
      </c>
      <c r="G47" s="3">
        <v>214.29</v>
      </c>
    </row>
    <row r="48" spans="1:7" x14ac:dyDescent="0.3">
      <c r="A48" t="s">
        <v>49</v>
      </c>
      <c r="B48">
        <v>1458</v>
      </c>
      <c r="C48">
        <v>0.2</v>
      </c>
      <c r="D48">
        <v>31</v>
      </c>
      <c r="E48">
        <v>1.0169999999999999</v>
      </c>
      <c r="F48">
        <f t="shared" si="0"/>
        <v>1427</v>
      </c>
    </row>
    <row r="49" spans="1:7" x14ac:dyDescent="0.3">
      <c r="A49" t="s">
        <v>50</v>
      </c>
      <c r="B49">
        <v>290.39999999999998</v>
      </c>
      <c r="C49">
        <v>0.3</v>
      </c>
      <c r="D49">
        <v>31</v>
      </c>
      <c r="E49">
        <v>0.19620000000000001</v>
      </c>
      <c r="F49">
        <f t="shared" si="0"/>
        <v>259.39999999999998</v>
      </c>
    </row>
    <row r="50" spans="1:7" x14ac:dyDescent="0.3">
      <c r="A50" s="1" t="s">
        <v>51</v>
      </c>
      <c r="B50">
        <v>651.24</v>
      </c>
      <c r="C50">
        <v>0.06</v>
      </c>
      <c r="D50">
        <v>79.7</v>
      </c>
      <c r="E50">
        <v>0.241397</v>
      </c>
      <c r="F50">
        <f t="shared" si="0"/>
        <v>571.54</v>
      </c>
      <c r="G50" s="3">
        <v>571.5</v>
      </c>
    </row>
    <row r="51" spans="1:7" x14ac:dyDescent="0.3">
      <c r="A51" t="s">
        <v>52</v>
      </c>
      <c r="B51">
        <v>219.46</v>
      </c>
      <c r="C51">
        <v>0.04</v>
      </c>
      <c r="D51">
        <v>125</v>
      </c>
      <c r="E51">
        <v>7.6999999999999999E-2</v>
      </c>
      <c r="F51">
        <f t="shared" si="0"/>
        <v>94.460000000000008</v>
      </c>
    </row>
    <row r="52" spans="1:7" x14ac:dyDescent="0.3">
      <c r="A52" s="1" t="s">
        <v>53</v>
      </c>
      <c r="B52">
        <v>631.28</v>
      </c>
      <c r="C52">
        <v>0.04</v>
      </c>
      <c r="D52">
        <v>55.2</v>
      </c>
      <c r="E52">
        <v>0.1139</v>
      </c>
      <c r="F52">
        <f t="shared" si="0"/>
        <v>576.07999999999993</v>
      </c>
      <c r="G52" s="3">
        <v>575.86</v>
      </c>
    </row>
    <row r="53" spans="1:7" x14ac:dyDescent="0.3">
      <c r="A53" t="s">
        <v>54</v>
      </c>
      <c r="B53">
        <v>656.8</v>
      </c>
      <c r="C53">
        <v>0.4</v>
      </c>
      <c r="D53">
        <v>41</v>
      </c>
      <c r="E53">
        <v>0.49099999999999999</v>
      </c>
      <c r="F53">
        <f t="shared" si="0"/>
        <v>615.79999999999995</v>
      </c>
    </row>
    <row r="54" spans="1:7" x14ac:dyDescent="0.3">
      <c r="A54" s="1" t="s">
        <v>55</v>
      </c>
      <c r="B54">
        <v>314.99</v>
      </c>
      <c r="C54">
        <v>0.01</v>
      </c>
      <c r="D54">
        <v>40.299999999999997</v>
      </c>
      <c r="E54">
        <v>0.15823899999999999</v>
      </c>
      <c r="F54">
        <f t="shared" si="0"/>
        <v>274.69</v>
      </c>
      <c r="G54" s="3">
        <v>274.68</v>
      </c>
    </row>
    <row r="55" spans="1:7" x14ac:dyDescent="0.3">
      <c r="A55" s="1" t="s">
        <v>56</v>
      </c>
      <c r="B55">
        <v>441.08</v>
      </c>
      <c r="C55">
        <v>0.7</v>
      </c>
      <c r="D55">
        <v>54.4</v>
      </c>
      <c r="E55">
        <v>0.28466900000000001</v>
      </c>
      <c r="F55">
        <f t="shared" si="0"/>
        <v>386.68</v>
      </c>
      <c r="G55" s="3">
        <v>387.85</v>
      </c>
    </row>
    <row r="56" spans="1:7" x14ac:dyDescent="0.3">
      <c r="A56" t="s">
        <v>57</v>
      </c>
      <c r="B56">
        <v>343.8</v>
      </c>
      <c r="C56">
        <v>0.8</v>
      </c>
      <c r="D56">
        <v>35</v>
      </c>
      <c r="E56">
        <v>0.2044</v>
      </c>
      <c r="F56">
        <f t="shared" si="0"/>
        <v>308.8</v>
      </c>
    </row>
    <row r="57" spans="1:7" x14ac:dyDescent="0.3">
      <c r="A57" t="s">
        <v>58</v>
      </c>
      <c r="B57">
        <v>361.4</v>
      </c>
      <c r="C57">
        <v>0.2</v>
      </c>
      <c r="D57">
        <v>50</v>
      </c>
      <c r="E57">
        <v>0.157</v>
      </c>
      <c r="F57">
        <f t="shared" si="0"/>
        <v>311.39999999999998</v>
      </c>
    </row>
    <row r="58" spans="1:7" x14ac:dyDescent="0.3">
      <c r="A58" t="s">
        <v>59</v>
      </c>
      <c r="B58">
        <v>411.51</v>
      </c>
      <c r="C58">
        <v>0.05</v>
      </c>
      <c r="D58">
        <v>50</v>
      </c>
      <c r="E58">
        <v>0.105</v>
      </c>
      <c r="F58">
        <f t="shared" si="0"/>
        <v>361.51</v>
      </c>
    </row>
    <row r="59" spans="1:7" x14ac:dyDescent="0.3">
      <c r="A59" t="s">
        <v>60</v>
      </c>
      <c r="B59">
        <v>476.6</v>
      </c>
      <c r="C59">
        <v>0.5</v>
      </c>
      <c r="D59">
        <v>393</v>
      </c>
      <c r="E59">
        <v>3.5700000000000003E-2</v>
      </c>
      <c r="F59">
        <f t="shared" si="0"/>
        <v>83.600000000000023</v>
      </c>
    </row>
    <row r="60" spans="1:7" x14ac:dyDescent="0.3">
      <c r="A60" t="s">
        <v>61</v>
      </c>
      <c r="B60">
        <v>440.1</v>
      </c>
      <c r="C60">
        <v>0.1</v>
      </c>
      <c r="D60">
        <v>34</v>
      </c>
      <c r="E60">
        <v>0.3619</v>
      </c>
      <c r="F60">
        <f t="shared" si="0"/>
        <v>406.1</v>
      </c>
    </row>
    <row r="61" spans="1:7" x14ac:dyDescent="0.3">
      <c r="A61" t="s">
        <v>62</v>
      </c>
      <c r="B61">
        <v>329.9</v>
      </c>
      <c r="C61">
        <v>0.1</v>
      </c>
      <c r="D61">
        <v>145</v>
      </c>
      <c r="E61">
        <v>0.15690000000000001</v>
      </c>
      <c r="F61">
        <f t="shared" si="0"/>
        <v>184.89999999999998</v>
      </c>
    </row>
    <row r="62" spans="1:7" x14ac:dyDescent="0.3">
      <c r="A62" t="s">
        <v>63</v>
      </c>
      <c r="B62">
        <v>527.70000000000005</v>
      </c>
      <c r="C62">
        <v>0.1</v>
      </c>
      <c r="D62">
        <v>40</v>
      </c>
      <c r="E62">
        <v>0.42</v>
      </c>
      <c r="F62">
        <f t="shared" si="0"/>
        <v>487.70000000000005</v>
      </c>
    </row>
    <row r="63" spans="1:7" x14ac:dyDescent="0.3">
      <c r="A63" t="s">
        <v>64</v>
      </c>
      <c r="B63">
        <v>374.5</v>
      </c>
      <c r="C63">
        <v>0.2</v>
      </c>
      <c r="D63">
        <v>38</v>
      </c>
      <c r="E63">
        <v>4.2729000000000003E-2</v>
      </c>
      <c r="F63">
        <f t="shared" si="0"/>
        <v>336.5</v>
      </c>
    </row>
    <row r="64" spans="1:7" x14ac:dyDescent="0.3">
      <c r="A64" t="s">
        <v>65</v>
      </c>
      <c r="B64">
        <v>283.73</v>
      </c>
      <c r="C64">
        <v>0.05</v>
      </c>
      <c r="D64">
        <v>31</v>
      </c>
      <c r="E64">
        <v>2.3685999999999999E-2</v>
      </c>
      <c r="F64">
        <f t="shared" si="0"/>
        <v>252.73000000000002</v>
      </c>
    </row>
    <row r="65" spans="1:6" x14ac:dyDescent="0.3">
      <c r="A65" t="s">
        <v>66</v>
      </c>
      <c r="B65">
        <v>601.79999999999995</v>
      </c>
      <c r="C65">
        <v>0.2</v>
      </c>
      <c r="D65">
        <v>36</v>
      </c>
      <c r="E65">
        <v>0.127</v>
      </c>
      <c r="F65">
        <f t="shared" si="0"/>
        <v>565.79999999999995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FRB_Surajit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zhuge</dc:creator>
  <cp:lastModifiedBy>佳明 诸葛</cp:lastModifiedBy>
  <dcterms:created xsi:type="dcterms:W3CDTF">2024-12-13T05:22:59Z</dcterms:created>
  <dcterms:modified xsi:type="dcterms:W3CDTF">2024-12-13T22:07:04Z</dcterms:modified>
</cp:coreProperties>
</file>